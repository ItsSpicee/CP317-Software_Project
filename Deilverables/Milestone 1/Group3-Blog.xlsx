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" sheetId="1" r:id="rId4"/>
  </sheets>
  <definedNames/>
  <calcPr/>
  <extLst>
    <ext uri="GoogleSheetsCustomDataVersion2">
      <go:sheetsCustomData xmlns:go="http://customooxmlschemas.google.com/" r:id="rId5" roundtripDataChecksum="axQyRgbPpgA0wRogaDyKF3gO7Thy8AKBGagnx+mI5Pc="/>
    </ext>
  </extLst>
</workbook>
</file>

<file path=xl/sharedStrings.xml><?xml version="1.0" encoding="utf-8"?>
<sst xmlns="http://schemas.openxmlformats.org/spreadsheetml/2006/main" count="56" uniqueCount="47">
  <si>
    <t>Team Members</t>
  </si>
  <si>
    <t xml:space="preserve">First Name </t>
  </si>
  <si>
    <t>Last Name</t>
  </si>
  <si>
    <t>Nickname (max 6 characters)</t>
  </si>
  <si>
    <t>Bassil</t>
  </si>
  <si>
    <t>Obeidi</t>
  </si>
  <si>
    <t>BO</t>
  </si>
  <si>
    <t xml:space="preserve">Zulqarnain </t>
  </si>
  <si>
    <t>Ali</t>
  </si>
  <si>
    <t>ZA</t>
  </si>
  <si>
    <t>Toshani</t>
  </si>
  <si>
    <t>Settvari</t>
  </si>
  <si>
    <t>TS</t>
  </si>
  <si>
    <t>Fatima</t>
  </si>
  <si>
    <t>Afzal</t>
  </si>
  <si>
    <t>FA</t>
  </si>
  <si>
    <t>Dezirae</t>
  </si>
  <si>
    <t>Asante</t>
  </si>
  <si>
    <t>DA</t>
  </si>
  <si>
    <t>Activities Table</t>
  </si>
  <si>
    <t>Date</t>
  </si>
  <si>
    <t>Who</t>
  </si>
  <si>
    <t>Type of Activty</t>
  </si>
  <si>
    <t>Number of hourse spent</t>
  </si>
  <si>
    <t xml:space="preserve">Purpose </t>
  </si>
  <si>
    <t>Output</t>
  </si>
  <si>
    <t>Hours spent</t>
  </si>
  <si>
    <t>Milestone 1</t>
  </si>
  <si>
    <t>In Person Meeting</t>
  </si>
  <si>
    <t>Brainstorm Project Ideas</t>
  </si>
  <si>
    <t>List of 3 software project ideas.</t>
  </si>
  <si>
    <t>Work at Home</t>
  </si>
  <si>
    <t>Work on milestone 1 deliverables</t>
  </si>
  <si>
    <t>Abstract, description and objectives</t>
  </si>
  <si>
    <t>Ethical Considerations and Formatting</t>
  </si>
  <si>
    <t>Format blog excel sheet</t>
  </si>
  <si>
    <t>Blog/Work Hours tracker</t>
  </si>
  <si>
    <t>Total hours</t>
  </si>
  <si>
    <t>Total team hours</t>
  </si>
  <si>
    <t xml:space="preserve">Milestone 2 </t>
  </si>
  <si>
    <t>Sprint 1</t>
  </si>
  <si>
    <t>Sprint 2</t>
  </si>
  <si>
    <t>Total Team hours</t>
  </si>
  <si>
    <t>Sprint 3</t>
  </si>
  <si>
    <t>total team hours</t>
  </si>
  <si>
    <t>Total hour over project</t>
  </si>
  <si>
    <t>Total team hours over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</si>
</sst>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06100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D8D8D8"/>
        <bgColor rgb="FFD8D8D8"/>
      </patternFill>
    </fill>
  </fills>
  <borders count="32">
    <border/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4" fillId="0" fontId="2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Alignment="1" applyBorder="1" applyFont="1">
      <alignment shrinkToFit="0" wrapText="1"/>
    </xf>
    <xf borderId="11" fillId="2" fontId="3" numFmtId="0" xfId="0" applyAlignment="1" applyBorder="1" applyFill="1" applyFont="1">
      <alignment readingOrder="0"/>
    </xf>
    <xf borderId="12" fillId="2" fontId="3" numFmtId="0" xfId="0" applyAlignment="1" applyBorder="1" applyFill="1" applyFont="1">
      <alignment readingOrder="0"/>
    </xf>
    <xf borderId="4" fillId="0" fontId="1" numFmtId="0" xfId="0" applyBorder="1" applyFont="1"/>
    <xf borderId="0" fillId="0" fontId="4" numFmtId="0" xfId="0" applyFont="1"/>
    <xf borderId="13" fillId="0" fontId="1" numFmtId="0" xfId="0" applyAlignment="1" applyBorder="1" applyFont="1">
      <alignment horizontal="center" vertical="top"/>
    </xf>
    <xf borderId="14" fillId="0" fontId="1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13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shrinkToFit="0" vertical="center" wrapText="1"/>
    </xf>
    <xf borderId="17" fillId="0" fontId="1" numFmtId="0" xfId="0" applyBorder="1" applyFont="1"/>
    <xf borderId="18" fillId="0" fontId="2" numFmtId="0" xfId="0" applyBorder="1" applyFont="1"/>
    <xf borderId="19" fillId="0" fontId="1" numFmtId="0" xfId="0" applyAlignment="1" applyBorder="1" applyFont="1">
      <alignment shrinkToFit="0" vertical="top" wrapText="1"/>
    </xf>
    <xf borderId="19" fillId="0" fontId="1" numFmtId="0" xfId="0" applyAlignment="1" applyBorder="1" applyFont="1">
      <alignment readingOrder="0" shrinkToFit="0" vertical="top" wrapText="1"/>
    </xf>
    <xf borderId="20" fillId="0" fontId="1" numFmtId="0" xfId="0" applyBorder="1" applyFont="1"/>
    <xf borderId="21" fillId="0" fontId="4" numFmtId="0" xfId="0" applyAlignment="1" applyBorder="1" applyFont="1">
      <alignment horizontal="center" vertical="top"/>
    </xf>
    <xf borderId="22" fillId="0" fontId="1" numFmtId="0" xfId="0" applyAlignment="1" applyBorder="1" applyFont="1">
      <alignment shrinkToFit="0" vertical="top" wrapText="1"/>
    </xf>
    <xf borderId="22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shrinkToFit="0" vertical="top" wrapText="1"/>
    </xf>
    <xf borderId="23" fillId="2" fontId="3" numFmtId="15" xfId="0" applyAlignment="1" applyBorder="1" applyFill="1" applyFont="1" applyNumberFormat="1">
      <alignment readingOrder="0" shrinkToFit="0" vertical="top" wrapText="1"/>
    </xf>
    <xf borderId="24" fillId="2" fontId="3" numFmtId="0" xfId="0" applyAlignment="1" applyBorder="1" applyFill="1" applyFont="1">
      <alignment shrinkToFit="0" vertical="top" wrapText="1"/>
    </xf>
    <xf borderId="24" fillId="2" fontId="3" numFmtId="0" xfId="0" applyAlignment="1" applyBorder="1" applyFill="1" applyFont="1">
      <alignment readingOrder="0" shrinkToFit="0" vertical="top" wrapText="1"/>
    </xf>
    <xf borderId="24" fillId="2" fontId="3" numFmtId="0" xfId="0" applyAlignment="1" applyBorder="1" applyFill="1" applyFont="1">
      <alignment horizontal="center" readingOrder="0" shrinkToFit="0" vertical="center" wrapText="1"/>
    </xf>
    <xf borderId="25" fillId="2" fontId="3" numFmtId="0" xfId="0" applyAlignment="1" applyBorder="1" applyFill="1" applyFont="1">
      <alignment readingOrder="0" shrinkToFit="0" vertical="top" wrapText="1"/>
    </xf>
    <xf borderId="11" fillId="2" fontId="3" numFmtId="15" xfId="0" applyAlignment="1" applyBorder="1" applyFill="1" applyFont="1" applyNumberFormat="1">
      <alignment horizontal="right" readingOrder="0" shrinkToFit="0" vertical="top" wrapText="1"/>
    </xf>
    <xf borderId="12" fillId="2" fontId="3" numFmtId="0" xfId="0" applyAlignment="1" applyBorder="1" applyFill="1" applyFont="1">
      <alignment horizontal="right" shrinkToFit="0" vertical="top" wrapText="1"/>
    </xf>
    <xf borderId="12" fillId="2" fontId="1" numFmtId="0" xfId="0" applyAlignment="1" applyBorder="1" applyFill="1" applyFont="1">
      <alignment vertical="top"/>
    </xf>
    <xf borderId="12" fillId="2" fontId="3" numFmtId="0" xfId="0" applyAlignment="1" applyBorder="1" applyFill="1" applyFont="1">
      <alignment shrinkToFit="0" vertical="top" wrapText="1"/>
    </xf>
    <xf borderId="12" fillId="2" fontId="3" numFmtId="0" xfId="0" applyAlignment="1" applyBorder="1" applyFill="1" applyFont="1">
      <alignment horizontal="center" shrinkToFit="0" wrapText="1"/>
    </xf>
    <xf borderId="26" fillId="2" fontId="3" numFmtId="0" xfId="0" applyAlignment="1" applyBorder="1" applyFill="1" applyFont="1">
      <alignment shrinkToFit="0" vertical="top" wrapText="1"/>
    </xf>
    <xf borderId="21" fillId="0" fontId="1" numFmtId="0" xfId="0" applyAlignment="1" applyBorder="1" applyFont="1">
      <alignment horizontal="right" shrinkToFit="0" vertical="top" wrapText="1"/>
    </xf>
    <xf borderId="22" fillId="0" fontId="1" numFmtId="0" xfId="0" applyAlignment="1" applyBorder="1" applyFont="1">
      <alignment horizontal="right" shrinkToFit="0" vertical="top" wrapText="1"/>
    </xf>
    <xf borderId="22" fillId="0" fontId="1" numFmtId="0" xfId="0" applyAlignment="1" applyBorder="1" applyFont="1">
      <alignment horizontal="right" readingOrder="0" shrinkToFit="0" vertical="top" wrapText="1"/>
    </xf>
    <xf borderId="12" fillId="2" fontId="3" numFmtId="0" xfId="0" applyAlignment="1" applyBorder="1" applyFill="1" applyFont="1">
      <alignment horizontal="right" shrinkToFit="0" vertical="top" wrapText="1"/>
    </xf>
    <xf borderId="12" fillId="2" fontId="1" numFmtId="0" xfId="0" applyAlignment="1" applyBorder="1" applyFill="1" applyFont="1">
      <alignment readingOrder="0" vertical="top"/>
    </xf>
    <xf borderId="12" fillId="2" fontId="1" numFmtId="0" xfId="0" applyAlignment="1" applyBorder="1" applyFill="1" applyFont="1">
      <alignment vertical="top"/>
    </xf>
    <xf borderId="12" fillId="2" fontId="3" numFmtId="0" xfId="0" applyAlignment="1" applyBorder="1" applyFill="1" applyFont="1">
      <alignment shrinkToFit="0" vertical="top" wrapText="1"/>
    </xf>
    <xf borderId="12" fillId="2" fontId="3" numFmtId="0" xfId="0" applyAlignment="1" applyBorder="1" applyFill="1" applyFont="1">
      <alignment horizontal="center" shrinkToFit="0" vertical="bottom" wrapText="1"/>
    </xf>
    <xf borderId="26" fillId="2" fontId="3" numFmtId="0" xfId="0" applyAlignment="1" applyBorder="1" applyFill="1" applyFont="1">
      <alignment readingOrder="0" shrinkToFit="0" vertical="top" wrapText="1"/>
    </xf>
    <xf borderId="12" fillId="2" fontId="3" numFmtId="0" xfId="0" applyAlignment="1" applyBorder="1" applyFill="1" applyFont="1">
      <alignment horizontal="right" readingOrder="0" shrinkToFit="0" vertical="top" wrapText="1"/>
    </xf>
    <xf borderId="12" fillId="2" fontId="3" numFmtId="0" xfId="0" applyAlignment="1" applyBorder="1" applyFill="1" applyFont="1">
      <alignment horizontal="center" readingOrder="0" shrinkToFit="0" vertical="bottom" wrapText="1"/>
    </xf>
    <xf borderId="12" fillId="2" fontId="3" numFmtId="0" xfId="0" applyAlignment="1" applyBorder="1" applyFill="1" applyFont="1">
      <alignment readingOrder="0" shrinkToFit="0" vertical="top" wrapText="1"/>
    </xf>
    <xf borderId="26" fillId="3" fontId="4" numFmtId="0" xfId="0" applyAlignment="1" applyBorder="1" applyFill="1" applyFont="1">
      <alignment shrinkToFit="0" vertical="top" wrapText="1"/>
    </xf>
    <xf borderId="12" fillId="3" fontId="4" numFmtId="0" xfId="0" applyBorder="1" applyFill="1" applyFont="1"/>
    <xf borderId="26" fillId="3" fontId="4" numFmtId="0" xfId="0" applyBorder="1" applyFill="1" applyFont="1"/>
    <xf borderId="12" fillId="3" fontId="4" numFmtId="0" xfId="0" applyAlignment="1" applyBorder="1" applyFill="1" applyFont="1">
      <alignment shrinkToFit="0" vertical="top" wrapText="1"/>
    </xf>
    <xf borderId="27" fillId="3" fontId="4" numFmtId="0" xfId="0" applyBorder="1" applyFill="1" applyFont="1"/>
    <xf borderId="4" fillId="0" fontId="4" numFmtId="0" xfId="0" applyBorder="1" applyFont="1"/>
    <xf borderId="11" fillId="2" fontId="3" numFmtId="15" xfId="0" applyAlignment="1" applyBorder="1" applyFill="1" applyFont="1" applyNumberFormat="1">
      <alignment shrinkToFit="0" vertical="top" wrapText="1"/>
    </xf>
    <xf borderId="12" fillId="2" fontId="3" numFmtId="0" xfId="0" applyAlignment="1" applyBorder="1" applyFill="1" applyFont="1">
      <alignment shrinkToFit="0" vertical="top" wrapText="1"/>
    </xf>
    <xf borderId="12" fillId="2" fontId="3" numFmtId="0" xfId="0" applyAlignment="1" applyBorder="1" applyFill="1" applyFont="1">
      <alignment horizontal="center" shrinkToFit="0" vertical="center" wrapText="1"/>
    </xf>
    <xf borderId="26" fillId="2" fontId="3" numFmtId="0" xfId="0" applyAlignment="1" applyBorder="1" applyFill="1" applyFont="1">
      <alignment shrinkToFit="0" vertical="top" wrapText="1"/>
    </xf>
    <xf borderId="14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11" fillId="3" fontId="4" numFmtId="0" xfId="0" applyBorder="1" applyFill="1" applyFont="1"/>
    <xf borderId="28" fillId="0" fontId="1" numFmtId="0" xfId="0" applyBorder="1" applyFont="1"/>
    <xf borderId="12" fillId="3" fontId="4" numFmtId="0" xfId="0" applyAlignment="1" applyBorder="1" applyFill="1" applyFont="1">
      <alignment shrinkToFit="0" wrapText="1"/>
    </xf>
    <xf borderId="29" fillId="0" fontId="1" numFmtId="0" xfId="0" applyBorder="1" applyFont="1"/>
    <xf borderId="30" fillId="3" fontId="4" numFmtId="0" xfId="0" applyAlignment="1" applyBorder="1" applyFill="1" applyFont="1">
      <alignment horizontal="right" shrinkToFit="0" wrapText="1"/>
    </xf>
    <xf borderId="30" fillId="3" fontId="4" numFmtId="0" xfId="0" applyBorder="1" applyFill="1" applyFont="1"/>
    <xf borderId="31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2.14"/>
    <col customWidth="1" min="4" max="4" width="1.71"/>
    <col customWidth="1" min="5" max="6" width="2.14"/>
    <col customWidth="1" min="7" max="7" width="13.57"/>
    <col customWidth="1" min="8" max="8" width="15.29"/>
    <col customWidth="1" min="9" max="9" width="21.86"/>
    <col customWidth="1" min="10" max="10" width="17.71"/>
    <col customWidth="1" min="11" max="16" width="8.71"/>
    <col customWidth="1" min="17" max="17" width="35.71"/>
    <col customWidth="1" min="18" max="24" width="8.71"/>
  </cols>
  <sheetData>
    <row r="1" ht="14.25" customHeight="1"/>
    <row r="2" ht="14.25" customHeight="1"/>
    <row r="3" ht="16.5" customHeight="1">
      <c r="G3" s="1" t="s">
        <v>0</v>
      </c>
      <c r="H3" s="2"/>
      <c r="I3" s="3"/>
      <c r="J3" s="4"/>
    </row>
    <row r="4" ht="14.25" customHeight="1">
      <c r="G4" s="5"/>
      <c r="H4" s="6"/>
      <c r="I4" s="7"/>
      <c r="J4" s="8"/>
    </row>
    <row r="5" ht="14.25" customHeight="1">
      <c r="G5" s="9" t="s">
        <v>1</v>
      </c>
      <c r="H5" s="10" t="s">
        <v>2</v>
      </c>
      <c r="I5" s="11" t="s">
        <v>3</v>
      </c>
      <c r="J5" s="8"/>
    </row>
    <row r="6" ht="14.25" customHeight="1">
      <c r="G6" s="12" t="s">
        <v>4</v>
      </c>
      <c r="H6" s="13" t="s">
        <v>5</v>
      </c>
      <c r="I6" s="13" t="s">
        <v>6</v>
      </c>
      <c r="J6" s="14"/>
    </row>
    <row r="7" ht="14.25" customHeight="1">
      <c r="G7" s="12" t="s">
        <v>7</v>
      </c>
      <c r="H7" s="13" t="s">
        <v>8</v>
      </c>
      <c r="I7" s="13" t="s">
        <v>9</v>
      </c>
      <c r="J7" s="14"/>
    </row>
    <row r="8" ht="14.25" customHeight="1">
      <c r="G8" s="12" t="s">
        <v>10</v>
      </c>
      <c r="H8" s="13" t="s">
        <v>11</v>
      </c>
      <c r="I8" s="13" t="s">
        <v>12</v>
      </c>
      <c r="J8" s="14"/>
    </row>
    <row r="9" ht="14.25" customHeight="1">
      <c r="G9" s="12" t="s">
        <v>13</v>
      </c>
      <c r="H9" s="13" t="s">
        <v>14</v>
      </c>
      <c r="I9" s="13" t="s">
        <v>15</v>
      </c>
      <c r="J9" s="14"/>
    </row>
    <row r="10" ht="14.25" customHeight="1">
      <c r="G10" s="12" t="s">
        <v>16</v>
      </c>
      <c r="H10" s="13" t="s">
        <v>17</v>
      </c>
      <c r="I10" s="13" t="s">
        <v>18</v>
      </c>
      <c r="J10" s="14"/>
    </row>
    <row r="11" ht="14.25" customHeight="1"/>
    <row r="12" ht="14.25" customHeight="1"/>
    <row r="13" ht="14.25" customHeight="1">
      <c r="A13" s="15" t="s">
        <v>19</v>
      </c>
    </row>
    <row r="14" ht="14.25" customHeight="1">
      <c r="A14" s="16" t="s">
        <v>20</v>
      </c>
      <c r="B14" s="17" t="s">
        <v>21</v>
      </c>
      <c r="C14" s="18"/>
      <c r="D14" s="18"/>
      <c r="E14" s="18"/>
      <c r="F14" s="19"/>
      <c r="G14" s="20" t="s">
        <v>22</v>
      </c>
      <c r="H14" s="21" t="s">
        <v>23</v>
      </c>
      <c r="I14" s="20" t="s">
        <v>24</v>
      </c>
      <c r="J14" s="20" t="s">
        <v>25</v>
      </c>
      <c r="K14" s="17" t="s">
        <v>26</v>
      </c>
      <c r="L14" s="18"/>
      <c r="M14" s="18"/>
      <c r="N14" s="18"/>
      <c r="O14" s="19"/>
      <c r="P14" s="22"/>
    </row>
    <row r="15" ht="14.25" customHeight="1">
      <c r="A15" s="23"/>
      <c r="B15" s="24" t="str">
        <f>$I$6</f>
        <v>BO</v>
      </c>
      <c r="C15" s="24" t="str">
        <f>$I$7</f>
        <v>ZA</v>
      </c>
      <c r="D15" s="24" t="str">
        <f>$I$8</f>
        <v>TS</v>
      </c>
      <c r="E15" s="24" t="str">
        <f>$I$9</f>
        <v>FA</v>
      </c>
      <c r="F15" s="25" t="str">
        <f>$I$10</f>
        <v>DA</v>
      </c>
      <c r="G15" s="23"/>
      <c r="H15" s="23"/>
      <c r="I15" s="23"/>
      <c r="J15" s="23"/>
      <c r="K15" s="24" t="str">
        <f>$I$6</f>
        <v>BO</v>
      </c>
      <c r="L15" s="24" t="str">
        <f>$I$7</f>
        <v>ZA</v>
      </c>
      <c r="M15" s="24" t="str">
        <f>$I$8</f>
        <v>TS</v>
      </c>
      <c r="N15" s="24" t="str">
        <f>$I$9</f>
        <v>FA</v>
      </c>
      <c r="O15" s="24" t="str">
        <f>$I$10</f>
        <v>DA</v>
      </c>
      <c r="P15" s="26"/>
    </row>
    <row r="16" ht="14.25" customHeight="1">
      <c r="A16" s="27" t="s">
        <v>27</v>
      </c>
      <c r="B16" s="28"/>
      <c r="C16" s="28"/>
      <c r="D16" s="28"/>
      <c r="E16" s="28"/>
      <c r="F16" s="28"/>
      <c r="G16" s="29"/>
      <c r="H16" s="30"/>
      <c r="I16" s="29"/>
      <c r="J16" s="31"/>
      <c r="K16" s="32"/>
      <c r="L16" s="28"/>
      <c r="M16" s="28"/>
      <c r="N16" s="28"/>
      <c r="O16" s="28"/>
      <c r="P16" s="26"/>
    </row>
    <row r="17" ht="35.25" customHeight="1">
      <c r="A17" s="33">
        <v>46293.0</v>
      </c>
      <c r="B17" s="34">
        <v>1.0</v>
      </c>
      <c r="C17" s="34">
        <v>1.0</v>
      </c>
      <c r="D17" s="34">
        <v>1.0</v>
      </c>
      <c r="E17" s="34">
        <v>1.0</v>
      </c>
      <c r="F17" s="35">
        <v>1.0</v>
      </c>
      <c r="G17" s="35" t="s">
        <v>28</v>
      </c>
      <c r="H17" s="36">
        <v>1.0</v>
      </c>
      <c r="I17" s="35" t="s">
        <v>29</v>
      </c>
      <c r="J17" s="37" t="s">
        <v>30</v>
      </c>
      <c r="K17" s="32">
        <f t="shared" ref="K17:N17" si="1">B17*$H17</f>
        <v>1</v>
      </c>
      <c r="L17" s="28">
        <f t="shared" si="1"/>
        <v>1</v>
      </c>
      <c r="M17" s="28">
        <f t="shared" si="1"/>
        <v>1</v>
      </c>
      <c r="N17" s="28">
        <f t="shared" si="1"/>
        <v>1</v>
      </c>
      <c r="O17" s="28">
        <f>F17+$H17</f>
        <v>2</v>
      </c>
      <c r="P17" s="26"/>
    </row>
    <row r="18" ht="40.5" customHeight="1">
      <c r="A18" s="38">
        <v>46294.0</v>
      </c>
      <c r="B18" s="39">
        <v>1.0</v>
      </c>
      <c r="C18" s="39">
        <v>1.0</v>
      </c>
      <c r="D18" s="40"/>
      <c r="E18" s="40"/>
      <c r="F18" s="40"/>
      <c r="G18" s="41" t="s">
        <v>31</v>
      </c>
      <c r="H18" s="42">
        <v>1.0</v>
      </c>
      <c r="I18" s="41" t="s">
        <v>32</v>
      </c>
      <c r="J18" s="43" t="s">
        <v>33</v>
      </c>
      <c r="K18" s="44">
        <f t="shared" ref="K18:L18" si="2">B18*$H18</f>
        <v>1</v>
      </c>
      <c r="L18" s="45">
        <f t="shared" si="2"/>
        <v>1</v>
      </c>
      <c r="M18" s="46">
        <v>1.0</v>
      </c>
      <c r="N18" s="45">
        <f t="shared" ref="N18:O18" si="3">E18*$H18</f>
        <v>0</v>
      </c>
      <c r="O18" s="45">
        <f t="shared" si="3"/>
        <v>0</v>
      </c>
      <c r="P18" s="26"/>
    </row>
    <row r="19" ht="45.0" customHeight="1">
      <c r="A19" s="38">
        <v>46298.0</v>
      </c>
      <c r="B19" s="47">
        <v>1.0</v>
      </c>
      <c r="C19" s="47"/>
      <c r="D19" s="48">
        <v>1.0</v>
      </c>
      <c r="E19" s="48">
        <v>1.0</v>
      </c>
      <c r="F19" s="49"/>
      <c r="G19" s="50" t="s">
        <v>31</v>
      </c>
      <c r="H19" s="51">
        <v>1.0</v>
      </c>
      <c r="I19" s="50" t="s">
        <v>32</v>
      </c>
      <c r="J19" s="52" t="s">
        <v>34</v>
      </c>
      <c r="K19" s="44">
        <f t="shared" ref="K19:O19" si="4">B19*$H19</f>
        <v>1</v>
      </c>
      <c r="L19" s="45">
        <f t="shared" si="4"/>
        <v>0</v>
      </c>
      <c r="M19" s="45">
        <f t="shared" si="4"/>
        <v>1</v>
      </c>
      <c r="N19" s="45">
        <f t="shared" si="4"/>
        <v>1</v>
      </c>
      <c r="O19" s="45">
        <f t="shared" si="4"/>
        <v>0</v>
      </c>
    </row>
    <row r="20" ht="31.5" customHeight="1">
      <c r="A20" s="38">
        <v>46298.0</v>
      </c>
      <c r="B20" s="47">
        <v>1.0</v>
      </c>
      <c r="C20" s="53"/>
      <c r="D20" s="48"/>
      <c r="E20" s="49"/>
      <c r="F20" s="49"/>
      <c r="G20" s="50" t="s">
        <v>31</v>
      </c>
      <c r="H20" s="54">
        <v>0.5</v>
      </c>
      <c r="I20" s="55" t="s">
        <v>35</v>
      </c>
      <c r="J20" s="52" t="s">
        <v>36</v>
      </c>
      <c r="K20" s="44">
        <f t="shared" ref="K20:O20" si="5">B20*$H20</f>
        <v>0.5</v>
      </c>
      <c r="L20" s="45">
        <f t="shared" si="5"/>
        <v>0</v>
      </c>
      <c r="M20" s="45">
        <f t="shared" si="5"/>
        <v>0</v>
      </c>
      <c r="N20" s="45">
        <f t="shared" si="5"/>
        <v>0</v>
      </c>
      <c r="O20" s="45">
        <f t="shared" si="5"/>
        <v>0</v>
      </c>
    </row>
    <row r="21" ht="18.0" customHeight="1">
      <c r="A21" s="14"/>
      <c r="J21" s="56" t="s">
        <v>37</v>
      </c>
      <c r="K21" s="57">
        <f t="shared" ref="K21:O21" si="6">SUM(K12:K20)</f>
        <v>3.5</v>
      </c>
      <c r="L21" s="57">
        <f t="shared" si="6"/>
        <v>2</v>
      </c>
      <c r="M21" s="57">
        <f t="shared" si="6"/>
        <v>3</v>
      </c>
      <c r="N21" s="57">
        <f t="shared" si="6"/>
        <v>2</v>
      </c>
      <c r="O21" s="57">
        <f t="shared" si="6"/>
        <v>2</v>
      </c>
      <c r="P21" s="58"/>
    </row>
    <row r="22" ht="16.5" customHeight="1">
      <c r="A22" s="14"/>
      <c r="J22" s="59" t="s">
        <v>38</v>
      </c>
      <c r="K22" s="60"/>
      <c r="L22" s="57"/>
      <c r="M22" s="57"/>
      <c r="N22" s="57"/>
      <c r="O22" s="57"/>
      <c r="P22" s="58">
        <f>SUM(K21:O21)</f>
        <v>12.5</v>
      </c>
    </row>
    <row r="23" ht="19.5" customHeight="1">
      <c r="A23" s="61" t="s">
        <v>39</v>
      </c>
      <c r="K23" s="32"/>
      <c r="L23" s="28"/>
      <c r="M23" s="28"/>
      <c r="N23" s="28"/>
      <c r="O23" s="28"/>
      <c r="P23" s="26"/>
    </row>
    <row r="24" ht="51.0" customHeight="1">
      <c r="A24" s="62">
        <v>43490.0</v>
      </c>
      <c r="B24" s="63"/>
      <c r="C24" s="63"/>
      <c r="D24" s="63"/>
      <c r="E24" s="63"/>
      <c r="F24" s="63"/>
      <c r="G24" s="63"/>
      <c r="H24" s="64"/>
      <c r="I24" s="63"/>
      <c r="J24" s="65"/>
      <c r="K24" s="66">
        <f t="shared" ref="K24:O24" si="7">B24*$H24</f>
        <v>0</v>
      </c>
      <c r="L24" s="67">
        <f t="shared" si="7"/>
        <v>0</v>
      </c>
      <c r="M24" s="67">
        <f t="shared" si="7"/>
        <v>0</v>
      </c>
      <c r="N24" s="67">
        <f t="shared" si="7"/>
        <v>0</v>
      </c>
      <c r="O24" s="67">
        <f t="shared" si="7"/>
        <v>0</v>
      </c>
      <c r="P24" s="26"/>
    </row>
    <row r="25" ht="51.0" customHeight="1">
      <c r="A25" s="62"/>
      <c r="B25" s="63"/>
      <c r="C25" s="63"/>
      <c r="D25" s="63"/>
      <c r="E25" s="63"/>
      <c r="F25" s="63"/>
      <c r="G25" s="63"/>
      <c r="H25" s="64"/>
      <c r="I25" s="63"/>
      <c r="J25" s="65"/>
      <c r="K25" s="68"/>
      <c r="L25" s="68"/>
      <c r="M25" s="68"/>
      <c r="N25" s="68"/>
      <c r="O25" s="68"/>
      <c r="P25" s="26"/>
    </row>
    <row r="26" ht="14.25" customHeight="1">
      <c r="A26" s="14"/>
      <c r="G26" s="68"/>
      <c r="J26" s="56" t="s">
        <v>37</v>
      </c>
      <c r="K26" s="57">
        <f t="shared" ref="K26:O26" si="8">SUM(K24:K25)</f>
        <v>0</v>
      </c>
      <c r="L26" s="57">
        <f t="shared" si="8"/>
        <v>0</v>
      </c>
      <c r="M26" s="57">
        <f t="shared" si="8"/>
        <v>0</v>
      </c>
      <c r="N26" s="57">
        <f t="shared" si="8"/>
        <v>0</v>
      </c>
      <c r="O26" s="57">
        <f t="shared" si="8"/>
        <v>0</v>
      </c>
      <c r="P26" s="58"/>
    </row>
    <row r="27" ht="14.25" customHeight="1">
      <c r="A27" s="14"/>
      <c r="J27" s="59" t="s">
        <v>38</v>
      </c>
      <c r="K27" s="69"/>
      <c r="L27" s="57"/>
      <c r="M27" s="57"/>
      <c r="N27" s="57"/>
      <c r="O27" s="57"/>
      <c r="P27" s="58">
        <f>SUM(K26:O26)</f>
        <v>0</v>
      </c>
    </row>
    <row r="28" ht="14.25" customHeight="1">
      <c r="A28" s="14"/>
      <c r="K28" s="70"/>
      <c r="P28" s="26"/>
    </row>
    <row r="29" ht="14.25" customHeight="1">
      <c r="A29" s="61" t="s">
        <v>40</v>
      </c>
      <c r="K29" s="32"/>
      <c r="L29" s="28"/>
      <c r="M29" s="28"/>
      <c r="N29" s="28"/>
      <c r="O29" s="28"/>
      <c r="P29" s="26"/>
    </row>
    <row r="30" ht="14.25" customHeight="1">
      <c r="A30" s="62"/>
      <c r="B30" s="63"/>
      <c r="C30" s="63"/>
      <c r="D30" s="63"/>
      <c r="E30" s="63"/>
      <c r="F30" s="63"/>
      <c r="G30" s="63"/>
      <c r="H30" s="64"/>
      <c r="I30" s="63"/>
      <c r="J30" s="65"/>
      <c r="K30" s="66">
        <f t="shared" ref="K30:O30" si="9">B30*$H30</f>
        <v>0</v>
      </c>
      <c r="L30" s="67">
        <f t="shared" si="9"/>
        <v>0</v>
      </c>
      <c r="M30" s="67">
        <f t="shared" si="9"/>
        <v>0</v>
      </c>
      <c r="N30" s="67">
        <f t="shared" si="9"/>
        <v>0</v>
      </c>
      <c r="O30" s="67">
        <f t="shared" si="9"/>
        <v>0</v>
      </c>
      <c r="P30" s="26"/>
    </row>
    <row r="31" ht="14.25" customHeight="1">
      <c r="A31" s="62"/>
      <c r="B31" s="63"/>
      <c r="C31" s="63"/>
      <c r="D31" s="63"/>
      <c r="E31" s="63"/>
      <c r="F31" s="63"/>
      <c r="G31" s="63"/>
      <c r="H31" s="64"/>
      <c r="I31" s="63"/>
      <c r="J31" s="65"/>
      <c r="K31" s="68"/>
      <c r="L31" s="68"/>
      <c r="M31" s="68"/>
      <c r="N31" s="68"/>
      <c r="O31" s="68"/>
      <c r="P31" s="26"/>
    </row>
    <row r="32" ht="14.25" customHeight="1">
      <c r="A32" s="14"/>
      <c r="G32" s="68"/>
      <c r="J32" s="56" t="s">
        <v>37</v>
      </c>
      <c r="K32" s="57">
        <f t="shared" ref="K32:O32" si="10">SUM(K30:K31)</f>
        <v>0</v>
      </c>
      <c r="L32" s="57">
        <f t="shared" si="10"/>
        <v>0</v>
      </c>
      <c r="M32" s="57">
        <f t="shared" si="10"/>
        <v>0</v>
      </c>
      <c r="N32" s="57">
        <f t="shared" si="10"/>
        <v>0</v>
      </c>
      <c r="O32" s="57">
        <f t="shared" si="10"/>
        <v>0</v>
      </c>
      <c r="P32" s="58"/>
    </row>
    <row r="33" ht="14.25" customHeight="1">
      <c r="A33" s="14"/>
      <c r="J33" s="59" t="s">
        <v>38</v>
      </c>
      <c r="K33" s="69"/>
      <c r="L33" s="57"/>
      <c r="M33" s="57"/>
      <c r="N33" s="57"/>
      <c r="O33" s="57"/>
      <c r="P33" s="58">
        <f>SUM(K32:O32)</f>
        <v>0</v>
      </c>
    </row>
    <row r="34" ht="14.25" customHeight="1">
      <c r="A34" s="14"/>
      <c r="J34" s="68"/>
      <c r="K34" s="70"/>
      <c r="P34" s="26"/>
    </row>
    <row r="35" ht="14.25" customHeight="1">
      <c r="A35" s="61" t="s">
        <v>41</v>
      </c>
      <c r="K35" s="32"/>
      <c r="L35" s="28"/>
      <c r="M35" s="28"/>
      <c r="N35" s="28"/>
      <c r="O35" s="28"/>
      <c r="P35" s="26"/>
    </row>
    <row r="36" ht="14.25" customHeight="1">
      <c r="A36" s="62"/>
      <c r="B36" s="63"/>
      <c r="C36" s="63"/>
      <c r="D36" s="63"/>
      <c r="E36" s="63"/>
      <c r="F36" s="63"/>
      <c r="G36" s="63"/>
      <c r="H36" s="64"/>
      <c r="I36" s="63"/>
      <c r="J36" s="65"/>
      <c r="K36" s="66">
        <f t="shared" ref="K36:O36" si="11">B36*$H36</f>
        <v>0</v>
      </c>
      <c r="L36" s="67">
        <f t="shared" si="11"/>
        <v>0</v>
      </c>
      <c r="M36" s="67">
        <f t="shared" si="11"/>
        <v>0</v>
      </c>
      <c r="N36" s="67">
        <f t="shared" si="11"/>
        <v>0</v>
      </c>
      <c r="O36" s="67">
        <f t="shared" si="11"/>
        <v>0</v>
      </c>
      <c r="P36" s="26"/>
    </row>
    <row r="37" ht="14.25" customHeight="1">
      <c r="A37" s="62"/>
      <c r="B37" s="63"/>
      <c r="C37" s="63"/>
      <c r="D37" s="63"/>
      <c r="E37" s="63"/>
      <c r="F37" s="63"/>
      <c r="G37" s="63"/>
      <c r="H37" s="64"/>
      <c r="I37" s="63"/>
      <c r="J37" s="65"/>
      <c r="K37" s="68"/>
      <c r="L37" s="68"/>
      <c r="M37" s="68"/>
      <c r="N37" s="68"/>
      <c r="O37" s="68"/>
      <c r="P37" s="26"/>
    </row>
    <row r="38" ht="14.25" customHeight="1">
      <c r="A38" s="14"/>
      <c r="G38" s="68"/>
      <c r="J38" s="56" t="s">
        <v>37</v>
      </c>
      <c r="K38" s="57">
        <f t="shared" ref="K38:O38" si="12">SUM(K36:K37)</f>
        <v>0</v>
      </c>
      <c r="L38" s="57">
        <f t="shared" si="12"/>
        <v>0</v>
      </c>
      <c r="M38" s="57">
        <f t="shared" si="12"/>
        <v>0</v>
      </c>
      <c r="N38" s="57">
        <f t="shared" si="12"/>
        <v>0</v>
      </c>
      <c r="O38" s="57">
        <f t="shared" si="12"/>
        <v>0</v>
      </c>
      <c r="P38" s="58"/>
    </row>
    <row r="39" ht="14.25" customHeight="1">
      <c r="A39" s="14"/>
      <c r="J39" s="57" t="s">
        <v>42</v>
      </c>
      <c r="K39" s="60"/>
      <c r="L39" s="57"/>
      <c r="M39" s="57"/>
      <c r="N39" s="57"/>
      <c r="O39" s="57"/>
      <c r="P39" s="58">
        <f>SUM(K38:O38)</f>
        <v>0</v>
      </c>
    </row>
    <row r="40" ht="14.25" customHeight="1">
      <c r="A40" s="61" t="s">
        <v>43</v>
      </c>
      <c r="K40" s="32"/>
      <c r="L40" s="28"/>
      <c r="M40" s="28"/>
      <c r="N40" s="28"/>
      <c r="O40" s="28"/>
      <c r="P40" s="26"/>
    </row>
    <row r="41" ht="14.25" customHeight="1">
      <c r="A41" s="62"/>
      <c r="B41" s="63"/>
      <c r="C41" s="63"/>
      <c r="D41" s="63"/>
      <c r="E41" s="63"/>
      <c r="F41" s="63"/>
      <c r="G41" s="63"/>
      <c r="H41" s="64"/>
      <c r="I41" s="63"/>
      <c r="J41" s="65"/>
      <c r="K41" s="66">
        <f t="shared" ref="K41:O41" si="13">B41*$H41</f>
        <v>0</v>
      </c>
      <c r="L41" s="67">
        <f t="shared" si="13"/>
        <v>0</v>
      </c>
      <c r="M41" s="67">
        <f t="shared" si="13"/>
        <v>0</v>
      </c>
      <c r="N41" s="67">
        <f t="shared" si="13"/>
        <v>0</v>
      </c>
      <c r="O41" s="67">
        <f t="shared" si="13"/>
        <v>0</v>
      </c>
      <c r="P41" s="26"/>
    </row>
    <row r="42" ht="14.25" customHeight="1">
      <c r="A42" s="62"/>
      <c r="B42" s="63"/>
      <c r="C42" s="63"/>
      <c r="D42" s="63"/>
      <c r="E42" s="63"/>
      <c r="F42" s="63"/>
      <c r="G42" s="63"/>
      <c r="H42" s="64"/>
      <c r="I42" s="63"/>
      <c r="J42" s="65"/>
      <c r="K42" s="68"/>
      <c r="L42" s="68"/>
      <c r="M42" s="68"/>
      <c r="N42" s="68"/>
      <c r="O42" s="68"/>
      <c r="P42" s="26"/>
    </row>
    <row r="43" ht="14.25" customHeight="1">
      <c r="A43" s="14"/>
      <c r="G43" s="68"/>
      <c r="J43" s="56" t="s">
        <v>37</v>
      </c>
      <c r="K43" s="57">
        <f t="shared" ref="K43:O43" si="14">SUM(K41:K42)</f>
        <v>0</v>
      </c>
      <c r="L43" s="57">
        <f t="shared" si="14"/>
        <v>0</v>
      </c>
      <c r="M43" s="57">
        <f t="shared" si="14"/>
        <v>0</v>
      </c>
      <c r="N43" s="57">
        <f t="shared" si="14"/>
        <v>0</v>
      </c>
      <c r="O43" s="57">
        <f t="shared" si="14"/>
        <v>0</v>
      </c>
      <c r="P43" s="58"/>
    </row>
    <row r="44" ht="14.25" customHeight="1">
      <c r="A44" s="14"/>
      <c r="J44" s="57" t="s">
        <v>44</v>
      </c>
      <c r="K44" s="69"/>
      <c r="L44" s="57"/>
      <c r="M44" s="57"/>
      <c r="N44" s="57"/>
      <c r="O44" s="57"/>
      <c r="P44" s="58">
        <f>SUM(K43:O43)</f>
        <v>0</v>
      </c>
    </row>
    <row r="45" ht="14.25" customHeight="1">
      <c r="A45" s="14"/>
      <c r="K45" s="14"/>
      <c r="P45" s="26"/>
    </row>
    <row r="46" ht="14.25" customHeight="1">
      <c r="A46" s="14"/>
      <c r="J46" s="71" t="s">
        <v>45</v>
      </c>
      <c r="K46" s="69">
        <f t="shared" ref="K46:O46" si="15">K21+K26+K32+K38+K43</f>
        <v>3.5</v>
      </c>
      <c r="L46" s="57">
        <f t="shared" si="15"/>
        <v>2</v>
      </c>
      <c r="M46" s="57">
        <f t="shared" si="15"/>
        <v>3</v>
      </c>
      <c r="N46" s="57">
        <f t="shared" si="15"/>
        <v>2</v>
      </c>
      <c r="O46" s="57">
        <f t="shared" si="15"/>
        <v>2</v>
      </c>
      <c r="P46" s="58"/>
    </row>
    <row r="47" ht="14.25" customHeight="1">
      <c r="A47" s="70"/>
      <c r="B47" s="72"/>
      <c r="C47" s="72"/>
      <c r="D47" s="72"/>
      <c r="E47" s="72"/>
      <c r="F47" s="72"/>
      <c r="G47" s="72"/>
      <c r="H47" s="72"/>
      <c r="I47" s="72"/>
      <c r="J47" s="73" t="s">
        <v>46</v>
      </c>
      <c r="K47" s="60"/>
      <c r="L47" s="74"/>
      <c r="M47" s="74"/>
      <c r="N47" s="74"/>
      <c r="O47" s="74"/>
      <c r="P47" s="75">
        <f>SUM(K46:O46)</f>
        <v>12.5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9">
    <mergeCell ref="B14:F14"/>
    <mergeCell ref="K14:O14"/>
    <mergeCell ref="G3:I3"/>
    <mergeCell ref="J3:J5"/>
    <mergeCell ref="A14:A15"/>
    <mergeCell ref="G14:G15"/>
    <mergeCell ref="H14:H15"/>
    <mergeCell ref="I14:I15"/>
    <mergeCell ref="J14:J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